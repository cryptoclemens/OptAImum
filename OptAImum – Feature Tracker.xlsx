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Backlog" sheetId="1" state="visible" r:id="rId3"/>
    <sheet name="Dashboard" sheetId="2" state="visible" r:id="rId4"/>
    <sheet name="Anleitu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<sst xmlns="http://schemas.openxmlformats.org/spreadsheetml/2006/main" count="210" uniqueCount="116">
  <si>
    <t xml:space="preserve">OptAImum – Feature Backlog</t>
  </si>
  <si>
    <t xml:space="preserve">powered by Innovation Republic  •  Features eintragen – Claude arbeitet sie ab</t>
  </si>
  <si>
    <t xml:space="preserve">ID</t>
  </si>
  <si>
    <t xml:space="preserve">Kategorie</t>
  </si>
  <si>
    <t xml:space="preserve">Feature / Aufgabe</t>
  </si>
  <si>
    <t xml:space="preserve">Details / Beschreibung</t>
  </si>
  <si>
    <t xml:space="preserve">Priorität</t>
  </si>
  <si>
    <t xml:space="preserve">Status</t>
  </si>
  <si>
    <t xml:space="preserve">Seite</t>
  </si>
  <si>
    <t xml:space="preserve">Gemini API?</t>
  </si>
  <si>
    <t xml:space="preserve">Aufwand</t>
  </si>
  <si>
    <t xml:space="preserve">Eingetragen</t>
  </si>
  <si>
    <t xml:space="preserve">Erledigt am</t>
  </si>
  <si>
    <t xml:space="preserve">Notizen</t>
  </si>
  <si>
    <t xml:space="preserve">Branding</t>
  </si>
  <si>
    <t xml:space="preserve">Innovation Republic – Branding</t>
  </si>
  <si>
    <t xml:space="preserve">Verweis 'powered by Innovation Republic' unter Logo</t>
  </si>
  <si>
    <t xml:space="preserve">Hoch</t>
  </si>
  <si>
    <t xml:space="preserve">Erledigt</t>
  </si>
  <si>
    <t xml:space="preserve">Alle Seiten</t>
  </si>
  <si>
    <t xml:space="preserve">Nein</t>
  </si>
  <si>
    <t xml:space="preserve">S</t>
  </si>
  <si>
    <t xml:space="preserve">04.03.2026</t>
  </si>
  <si>
    <t xml:space="preserve">Fertig eingebaut</t>
  </si>
  <si>
    <t xml:space="preserve">MD-Creator</t>
  </si>
  <si>
    <t xml:space="preserve">Gemini 2.0 Flash API</t>
  </si>
  <si>
    <t xml:space="preserve">API-Endpoint auf gemini-2.0-flash upgraden</t>
  </si>
  <si>
    <t xml:space="preserve">Offen</t>
  </si>
  <si>
    <t xml:space="preserve">md-creator</t>
  </si>
  <si>
    <t xml:space="preserve">Ja</t>
  </si>
  <si>
    <t xml:space="preserve">LLM-Switcher</t>
  </si>
  <si>
    <t xml:space="preserve">Gemini → Claude Guide</t>
  </si>
  <si>
    <t xml:space="preserve">Wechsel-Anleitung für Google Gemini ergänzen</t>
  </si>
  <si>
    <t xml:space="preserve">Mittel</t>
  </si>
  <si>
    <t xml:space="preserve">llm-switcher</t>
  </si>
  <si>
    <t xml:space="preserve">M</t>
  </si>
  <si>
    <t xml:space="preserve">Copilot → Claude Guide</t>
  </si>
  <si>
    <t xml:space="preserve">Wechsel-Anleitung für GitHub Copilot ergänzen</t>
  </si>
  <si>
    <t xml:space="preserve">Prompt-Generator</t>
  </si>
  <si>
    <t xml:space="preserve">Mehr Use-Case Templates</t>
  </si>
  <si>
    <t xml:space="preserve">Vorgefertigte Templates je Agent (10+ Kategorien)</t>
  </si>
  <si>
    <t xml:space="preserve">prompt-gen</t>
  </si>
  <si>
    <t xml:space="preserve">E-Mail, Code, Analyse, Präsentation …</t>
  </si>
  <si>
    <t xml:space="preserve">VM-Guide</t>
  </si>
  <si>
    <t xml:space="preserve">DigitalOcean Setup-Anleitung</t>
  </si>
  <si>
    <t xml:space="preserve">Schritt-für-Schritt für DigitalOcean Droplets</t>
  </si>
  <si>
    <t xml:space="preserve">Niedrig</t>
  </si>
  <si>
    <t xml:space="preserve">vm-guide</t>
  </si>
  <si>
    <t xml:space="preserve">MD-Vorschau in Echtzeit</t>
  </si>
  <si>
    <t xml:space="preserve">Live-Preview des generierten MDs neben dem Formular</t>
  </si>
  <si>
    <t xml:space="preserve">L</t>
  </si>
  <si>
    <t xml:space="preserve">Split-View Layout</t>
  </si>
  <si>
    <t xml:space="preserve">Allgemein</t>
  </si>
  <si>
    <t xml:space="preserve">Dark Mode</t>
  </si>
  <si>
    <t xml:space="preserve">Dunkles Design optional einschaltbar</t>
  </si>
  <si>
    <t xml:space="preserve">CSS variables bereits vorbereitet</t>
  </si>
  <si>
    <t xml:space="preserve">GitHub Pages Deployment</t>
  </si>
  <si>
    <t xml:space="preserve">Kostenloser Host via github.io</t>
  </si>
  <si>
    <t xml:space="preserve">Deployment</t>
  </si>
  <si>
    <t xml:space="preserve">cryptoclemens/OptAImum</t>
  </si>
  <si>
    <t xml:space="preserve">MD-History / zuletzt generiert</t>
  </si>
  <si>
    <t xml:space="preserve">Letzte 3 MDs im Browser-Cache speichern</t>
  </si>
  <si>
    <t xml:space="preserve">localStorage nutzen</t>
  </si>
  <si>
    <t xml:space="preserve">Spanisch / Französisch</t>
  </si>
  <si>
    <t xml:space="preserve">i18n um ES und FR ergänzen</t>
  </si>
  <si>
    <t xml:space="preserve">i18n.js ist modular aufgebaut</t>
  </si>
  <si>
    <t xml:space="preserve">Oracle Cloud Budget-Alert Anleitung</t>
  </si>
  <si>
    <t xml:space="preserve">Anleitung damit die VM kostenlos bleibt</t>
  </si>
  <si>
    <t xml:space="preserve">Favicon</t>
  </si>
  <si>
    <t xml:space="preserve">ICO/PNG basierend auf OptAImum-Logo erstellen</t>
  </si>
  <si>
    <t xml:space="preserve">Kontext-Export Vorlage</t>
  </si>
  <si>
    <t xml:space="preserve">Ausfüllbare Download-Vorlage für eigenen Kontext</t>
  </si>
  <si>
    <t xml:space="preserve">← Hier neue Features eintragen</t>
  </si>
  <si>
    <t xml:space="preserve">OptAImum – Feature Dashboard</t>
  </si>
  <si>
    <t xml:space="preserve">powered by Innovation Republic  •  Automatische Auswertung</t>
  </si>
  <si>
    <t xml:space="preserve">Anzahl</t>
  </si>
  <si>
    <t xml:space="preserve">Anteil</t>
  </si>
  <si>
    <t xml:space="preserve">In Arbeit</t>
  </si>
  <si>
    <t xml:space="preserve">Abgelehnt</t>
  </si>
  <si>
    <t xml:space="preserve">Pausiert</t>
  </si>
  <si>
    <t xml:space="preserve">Gesamt</t>
  </si>
  <si>
    <t xml:space="preserve">100%</t>
  </si>
  <si>
    <t xml:space="preserve">💡 Werte aktualisieren automatisch wenn du im 'Feature Backlog'-Tab neue Features einträgst oder Status änderst.</t>
  </si>
  <si>
    <t xml:space="preserve">Anleitung – Feature Tracker</t>
  </si>
  <si>
    <t xml:space="preserve">Schritt</t>
  </si>
  <si>
    <t xml:space="preserve">Aktion</t>
  </si>
  <si>
    <t xml:space="preserve">Dropdown-Optionen</t>
  </si>
  <si>
    <t xml:space="preserve">Beispiel</t>
  </si>
  <si>
    <t xml:space="preserve">1 – Feature eintragen</t>
  </si>
  <si>
    <t xml:space="preserve">Im Tab 'Feature Backlog' in die nächste freie Zeile eintragen</t>
  </si>
  <si>
    <t xml:space="preserve">–</t>
  </si>
  <si>
    <t xml:space="preserve">ID 16, Kategorie: MD-Creator</t>
  </si>
  <si>
    <t xml:space="preserve">2 – Priorität setzen</t>
  </si>
  <si>
    <t xml:space="preserve">Auf Priorität-Zelle klicken → Dropdown öffnet sich</t>
  </si>
  <si>
    <t xml:space="preserve">Hoch / Mittel / Niedrig</t>
  </si>
  <si>
    <t xml:space="preserve">Hoch für dringende Features</t>
  </si>
  <si>
    <t xml:space="preserve">3 – Status lassen</t>
  </si>
  <si>
    <t xml:space="preserve">Auf 'Offen' lassen – Claude setzt ihn beim Bearbeiten um</t>
  </si>
  <si>
    <t xml:space="preserve">Offen / In Arbeit / Erledigt / …</t>
  </si>
  <si>
    <t xml:space="preserve">4 – Aufwand schätzen</t>
  </si>
  <si>
    <t xml:space="preserve">S = schnell, M = mittel, L = groß, XL = sehr groß</t>
  </si>
  <si>
    <t xml:space="preserve">S / M / L / XL</t>
  </si>
  <si>
    <t xml:space="preserve">5 – Claude beauftragen</t>
  </si>
  <si>
    <t xml:space="preserve">Sage: 'Arbeite bitte die offenen Features aus dem Tracker ab'</t>
  </si>
  <si>
    <t xml:space="preserve">Claude startet mit Hoch-Features</t>
  </si>
  <si>
    <t xml:space="preserve">6 – Dashboard prüfen</t>
  </si>
  <si>
    <t xml:space="preserve">Im Tab 'Dashboard' siehst du live den Fortschritt</t>
  </si>
  <si>
    <t xml:space="preserve">Bedeutung</t>
  </si>
  <si>
    <t xml:space="preserve">Änderungen an der MD-Erstellungs-Seite</t>
  </si>
  <si>
    <t xml:space="preserve">Änderungen am Plattform-Wechsel-Guide</t>
  </si>
  <si>
    <t xml:space="preserve">Änderungen am Prompt-Generator</t>
  </si>
  <si>
    <t xml:space="preserve">Änderungen an der VM/Sandbox-Anleitung</t>
  </si>
  <si>
    <t xml:space="preserve">Logo, Farben, Namen, Design</t>
  </si>
  <si>
    <t xml:space="preserve">Seitenübergreifende Features</t>
  </si>
  <si>
    <t xml:space="preserve">Bug</t>
  </si>
  <si>
    <t xml:space="preserve">Fehler die behoben werden sollen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</si>
</sst>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366F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0EA5E9"/>
        <bgColor rgb="FF33CCCC"/>
      </patternFill>
    </fill>
    <fill>
      <patternFill patternType="solid">
        <fgColor rgb="FFFFFFFF"/>
        <bgColor rgb="FFF8FAFC"/>
      </patternFill>
    </fill>
    <fill>
      <patternFill patternType="solid">
        <fgColor rgb="FF334155"/>
        <bgColor rgb="FF475569"/>
      </patternFill>
    </fill>
    <fill>
      <patternFill patternType="solid">
        <fgColor rgb="FFE0F2FE"/>
        <bgColor rgb="FFEFF6FF"/>
      </patternFill>
    </fill>
    <fill>
      <patternFill patternType="solid">
        <fgColor rgb="FF6366F1"/>
        <bgColor rgb="FF64748B"/>
      </patternFill>
    </fill>
    <fill>
      <patternFill patternType="solid">
        <fgColor rgb="FFEFF6FF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0F2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FF6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0B981"/>
      <rgbColor rgb="FF003300"/>
      <rgbColor rgb="FF475569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3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5.5" hidden="false" customHeight="true" outlineLevel="0" collapsed="false">
      <c r="A5" s="4" t="n">
        <v>1</v>
      </c>
      <c r="B5" s="5" t="s">
        <v>14</v>
      </c>
      <c r="C5" s="6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22</v>
      </c>
      <c r="L5" s="5" t="s">
        <v>23</v>
      </c>
    </row>
    <row r="6" customFormat="false" ht="25.5" hidden="false" customHeight="true" outlineLevel="0" collapsed="false">
      <c r="A6" s="7" t="n">
        <v>2</v>
      </c>
      <c r="B6" s="8" t="s">
        <v>24</v>
      </c>
      <c r="C6" s="9" t="s">
        <v>25</v>
      </c>
      <c r="D6" s="8" t="s">
        <v>26</v>
      </c>
      <c r="E6" s="8" t="s">
        <v>17</v>
      </c>
      <c r="F6" s="8" t="s">
        <v>27</v>
      </c>
      <c r="G6" s="8" t="s">
        <v>28</v>
      </c>
      <c r="H6" s="8" t="s">
        <v>29</v>
      </c>
      <c r="I6" s="8" t="s">
        <v>21</v>
      </c>
      <c r="J6" s="8" t="s">
        <v>22</v>
      </c>
      <c r="K6" s="8"/>
      <c r="L6" s="8"/>
    </row>
    <row r="7" customFormat="false" ht="25.5" hidden="false" customHeight="true" outlineLevel="0" collapsed="false">
      <c r="A7" s="4" t="n">
        <v>3</v>
      </c>
      <c r="B7" s="5" t="s">
        <v>30</v>
      </c>
      <c r="C7" s="6" t="s">
        <v>31</v>
      </c>
      <c r="D7" s="5" t="s">
        <v>32</v>
      </c>
      <c r="E7" s="5" t="s">
        <v>33</v>
      </c>
      <c r="F7" s="5" t="s">
        <v>27</v>
      </c>
      <c r="G7" s="5" t="s">
        <v>34</v>
      </c>
      <c r="H7" s="5" t="s">
        <v>20</v>
      </c>
      <c r="I7" s="5" t="s">
        <v>35</v>
      </c>
      <c r="J7" s="5" t="s">
        <v>22</v>
      </c>
      <c r="K7" s="5"/>
      <c r="L7" s="5"/>
    </row>
    <row r="8" customFormat="false" ht="25.5" hidden="false" customHeight="true" outlineLevel="0" collapsed="false">
      <c r="A8" s="7" t="n">
        <v>4</v>
      </c>
      <c r="B8" s="8" t="s">
        <v>30</v>
      </c>
      <c r="C8" s="9" t="s">
        <v>36</v>
      </c>
      <c r="D8" s="8" t="s">
        <v>37</v>
      </c>
      <c r="E8" s="8" t="s">
        <v>33</v>
      </c>
      <c r="F8" s="8" t="s">
        <v>27</v>
      </c>
      <c r="G8" s="8" t="s">
        <v>34</v>
      </c>
      <c r="H8" s="8" t="s">
        <v>20</v>
      </c>
      <c r="I8" s="8" t="s">
        <v>35</v>
      </c>
      <c r="J8" s="8" t="s">
        <v>22</v>
      </c>
      <c r="K8" s="8"/>
      <c r="L8" s="8"/>
    </row>
    <row r="9" customFormat="false" ht="25.5" hidden="false" customHeight="true" outlineLevel="0" collapsed="false">
      <c r="A9" s="4" t="n">
        <v>5</v>
      </c>
      <c r="B9" s="5" t="s">
        <v>38</v>
      </c>
      <c r="C9" s="6" t="s">
        <v>39</v>
      </c>
      <c r="D9" s="5" t="s">
        <v>40</v>
      </c>
      <c r="E9" s="5" t="s">
        <v>33</v>
      </c>
      <c r="F9" s="5" t="s">
        <v>27</v>
      </c>
      <c r="G9" s="5" t="s">
        <v>41</v>
      </c>
      <c r="H9" s="5" t="s">
        <v>29</v>
      </c>
      <c r="I9" s="5" t="s">
        <v>35</v>
      </c>
      <c r="J9" s="5" t="s">
        <v>22</v>
      </c>
      <c r="K9" s="5"/>
      <c r="L9" s="5" t="s">
        <v>42</v>
      </c>
    </row>
    <row r="10" customFormat="false" ht="25.5" hidden="false" customHeight="true" outlineLevel="0" collapsed="false">
      <c r="A10" s="7" t="n">
        <v>6</v>
      </c>
      <c r="B10" s="8" t="s">
        <v>43</v>
      </c>
      <c r="C10" s="9" t="s">
        <v>44</v>
      </c>
      <c r="D10" s="8" t="s">
        <v>45</v>
      </c>
      <c r="E10" s="8" t="s">
        <v>46</v>
      </c>
      <c r="F10" s="8" t="s">
        <v>27</v>
      </c>
      <c r="G10" s="8" t="s">
        <v>47</v>
      </c>
      <c r="H10" s="8" t="s">
        <v>20</v>
      </c>
      <c r="I10" s="8" t="s">
        <v>35</v>
      </c>
      <c r="J10" s="8" t="s">
        <v>22</v>
      </c>
      <c r="K10" s="8"/>
      <c r="L10" s="8"/>
    </row>
    <row r="11" customFormat="false" ht="25.5" hidden="false" customHeight="true" outlineLevel="0" collapsed="false">
      <c r="A11" s="4" t="n">
        <v>7</v>
      </c>
      <c r="B11" s="5" t="s">
        <v>24</v>
      </c>
      <c r="C11" s="6" t="s">
        <v>48</v>
      </c>
      <c r="D11" s="5" t="s">
        <v>49</v>
      </c>
      <c r="E11" s="5" t="s">
        <v>33</v>
      </c>
      <c r="F11" s="5" t="s">
        <v>27</v>
      </c>
      <c r="G11" s="5" t="s">
        <v>28</v>
      </c>
      <c r="H11" s="5" t="s">
        <v>20</v>
      </c>
      <c r="I11" s="5" t="s">
        <v>50</v>
      </c>
      <c r="J11" s="5" t="s">
        <v>22</v>
      </c>
      <c r="K11" s="5"/>
      <c r="L11" s="5" t="s">
        <v>51</v>
      </c>
    </row>
    <row r="12" customFormat="false" ht="25.5" hidden="false" customHeight="true" outlineLevel="0" collapsed="false">
      <c r="A12" s="7" t="n">
        <v>8</v>
      </c>
      <c r="B12" s="8" t="s">
        <v>52</v>
      </c>
      <c r="C12" s="9" t="s">
        <v>53</v>
      </c>
      <c r="D12" s="8" t="s">
        <v>54</v>
      </c>
      <c r="E12" s="8" t="s">
        <v>46</v>
      </c>
      <c r="F12" s="8" t="s">
        <v>27</v>
      </c>
      <c r="G12" s="8" t="s">
        <v>19</v>
      </c>
      <c r="H12" s="8" t="s">
        <v>20</v>
      </c>
      <c r="I12" s="8" t="s">
        <v>35</v>
      </c>
      <c r="J12" s="8" t="s">
        <v>22</v>
      </c>
      <c r="K12" s="8"/>
      <c r="L12" s="8" t="s">
        <v>55</v>
      </c>
    </row>
    <row r="13" customFormat="false" ht="25.5" hidden="false" customHeight="true" outlineLevel="0" collapsed="false">
      <c r="A13" s="4" t="n">
        <v>9</v>
      </c>
      <c r="B13" s="5" t="s">
        <v>52</v>
      </c>
      <c r="C13" s="6" t="s">
        <v>56</v>
      </c>
      <c r="D13" s="5" t="s">
        <v>57</v>
      </c>
      <c r="E13" s="5" t="s">
        <v>17</v>
      </c>
      <c r="F13" s="5" t="s">
        <v>27</v>
      </c>
      <c r="G13" s="5" t="s">
        <v>58</v>
      </c>
      <c r="H13" s="5" t="s">
        <v>20</v>
      </c>
      <c r="I13" s="5" t="s">
        <v>21</v>
      </c>
      <c r="J13" s="5" t="s">
        <v>22</v>
      </c>
      <c r="K13" s="5"/>
      <c r="L13" s="5" t="s">
        <v>59</v>
      </c>
    </row>
    <row r="14" customFormat="false" ht="25.5" hidden="false" customHeight="true" outlineLevel="0" collapsed="false">
      <c r="A14" s="7" t="n">
        <v>10</v>
      </c>
      <c r="B14" s="8" t="s">
        <v>24</v>
      </c>
      <c r="C14" s="9" t="s">
        <v>60</v>
      </c>
      <c r="D14" s="8" t="s">
        <v>61</v>
      </c>
      <c r="E14" s="8" t="s">
        <v>46</v>
      </c>
      <c r="F14" s="8" t="s">
        <v>27</v>
      </c>
      <c r="G14" s="8" t="s">
        <v>28</v>
      </c>
      <c r="H14" s="8" t="s">
        <v>20</v>
      </c>
      <c r="I14" s="8" t="s">
        <v>35</v>
      </c>
      <c r="J14" s="8" t="s">
        <v>22</v>
      </c>
      <c r="K14" s="8"/>
      <c r="L14" s="8" t="s">
        <v>62</v>
      </c>
    </row>
    <row r="15" customFormat="false" ht="25.5" hidden="false" customHeight="true" outlineLevel="0" collapsed="false">
      <c r="A15" s="4" t="n">
        <v>11</v>
      </c>
      <c r="B15" s="5" t="s">
        <v>52</v>
      </c>
      <c r="C15" s="6" t="s">
        <v>63</v>
      </c>
      <c r="D15" s="5" t="s">
        <v>64</v>
      </c>
      <c r="E15" s="5" t="s">
        <v>46</v>
      </c>
      <c r="F15" s="5" t="s">
        <v>27</v>
      </c>
      <c r="G15" s="5" t="s">
        <v>19</v>
      </c>
      <c r="H15" s="5" t="s">
        <v>29</v>
      </c>
      <c r="I15" s="5" t="s">
        <v>50</v>
      </c>
      <c r="J15" s="5" t="s">
        <v>22</v>
      </c>
      <c r="K15" s="5"/>
      <c r="L15" s="5" t="s">
        <v>65</v>
      </c>
    </row>
    <row r="16" customFormat="false" ht="25.5" hidden="false" customHeight="true" outlineLevel="0" collapsed="false">
      <c r="A16" s="7" t="n">
        <v>12</v>
      </c>
      <c r="B16" s="8" t="s">
        <v>43</v>
      </c>
      <c r="C16" s="9" t="s">
        <v>66</v>
      </c>
      <c r="D16" s="8" t="s">
        <v>67</v>
      </c>
      <c r="E16" s="8" t="s">
        <v>33</v>
      </c>
      <c r="F16" s="8" t="s">
        <v>27</v>
      </c>
      <c r="G16" s="8" t="s">
        <v>47</v>
      </c>
      <c r="H16" s="8" t="s">
        <v>20</v>
      </c>
      <c r="I16" s="8" t="s">
        <v>21</v>
      </c>
      <c r="J16" s="8" t="s">
        <v>22</v>
      </c>
      <c r="K16" s="8"/>
      <c r="L16" s="8"/>
    </row>
    <row r="17" customFormat="false" ht="25.5" hidden="false" customHeight="true" outlineLevel="0" collapsed="false">
      <c r="A17" s="4" t="n">
        <v>13</v>
      </c>
      <c r="B17" s="5" t="s">
        <v>14</v>
      </c>
      <c r="C17" s="6" t="s">
        <v>68</v>
      </c>
      <c r="D17" s="5" t="s">
        <v>69</v>
      </c>
      <c r="E17" s="5" t="s">
        <v>33</v>
      </c>
      <c r="F17" s="5" t="s">
        <v>27</v>
      </c>
      <c r="G17" s="5" t="s">
        <v>19</v>
      </c>
      <c r="H17" s="5" t="s">
        <v>20</v>
      </c>
      <c r="I17" s="5" t="s">
        <v>21</v>
      </c>
      <c r="J17" s="5" t="s">
        <v>22</v>
      </c>
      <c r="K17" s="5"/>
      <c r="L17" s="5"/>
    </row>
    <row r="18" customFormat="false" ht="25.5" hidden="false" customHeight="true" outlineLevel="0" collapsed="false">
      <c r="A18" s="7" t="n">
        <v>14</v>
      </c>
      <c r="B18" s="8" t="s">
        <v>30</v>
      </c>
      <c r="C18" s="9" t="s">
        <v>70</v>
      </c>
      <c r="D18" s="8" t="s">
        <v>71</v>
      </c>
      <c r="E18" s="8" t="s">
        <v>33</v>
      </c>
      <c r="F18" s="8" t="s">
        <v>27</v>
      </c>
      <c r="G18" s="8" t="s">
        <v>34</v>
      </c>
      <c r="H18" s="8" t="s">
        <v>20</v>
      </c>
      <c r="I18" s="8" t="s">
        <v>35</v>
      </c>
      <c r="J18" s="8" t="s">
        <v>22</v>
      </c>
      <c r="K18" s="8"/>
      <c r="L18" s="8"/>
    </row>
    <row r="19" customFormat="false" ht="25.5" hidden="false" customHeight="true" outlineLevel="0" collapsed="false">
      <c r="A19" s="4" t="n">
        <v>15</v>
      </c>
      <c r="B19" s="5"/>
      <c r="C19" s="6"/>
      <c r="D19" s="5"/>
      <c r="E19" s="5"/>
      <c r="F19" s="5"/>
      <c r="G19" s="5"/>
      <c r="H19" s="5"/>
      <c r="I19" s="5"/>
      <c r="J19" s="5"/>
      <c r="K19" s="5"/>
      <c r="L19" s="5" t="s">
        <v>72</v>
      </c>
    </row>
    <row r="20" customFormat="false" ht="24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24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24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24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24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24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24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24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24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24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24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24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24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24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24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24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24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24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24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24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24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24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24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24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24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</sheetData>
  <mergeCells count="2">
    <mergeCell ref="A1:L1"/>
    <mergeCell ref="A2:L2"/>
  </mergeCells>
  <dataValidations count="5">
    <dataValidation allowBlank="true" errorStyle="stop" operator="between" showDropDown="false" showErrorMessage="false" showInputMessage="false" sqref="E5:E44" type="list">
      <formula1>"Hoch,Mittel,Niedrig"</formula1>
      <formula2>0</formula2>
    </dataValidation>
    <dataValidation allowBlank="true" errorStyle="stop" operator="between" showDropDown="false" showErrorMessage="false" showInputMessage="false" sqref="F5:F44" type="list">
      <formula1>"Offen,In Arbeit,Erledigt,Abgelehnt,Pausiert"</formula1>
      <formula2>0</formula2>
    </dataValidation>
    <dataValidation allowBlank="true" errorStyle="stop" operator="between" showDropDown="false" showErrorMessage="false" showInputMessage="false" sqref="H5:H44" type="list">
      <formula1>"Ja,Nein,Optional"</formula1>
      <formula2>0</formula2>
    </dataValidation>
    <dataValidation allowBlank="true" errorStyle="stop" operator="between" showDropDown="false" showErrorMessage="false" showInputMessage="false" sqref="I5:I44" type="list">
      <formula1>"S (&lt; 1h),M (2-4h),L (halber Tag),XL (ganzer Tag)"</formula1>
      <formula2>0</formula2>
    </dataValidation>
    <dataValidation allowBlank="true" errorStyle="stop" operator="between" showDropDown="false" showErrorMessage="false" showInputMessage="false" sqref="B5:B44" type="list">
      <formula1>"MD-Creator,LLM-Switcher,Prompt-Generator,VM-Guide,Branding,Allgemein,Bug"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4"/>
  </cols>
  <sheetData>
    <row r="1" customFormat="false" ht="36" hidden="false" customHeight="true" outlineLevel="0" collapsed="false">
      <c r="A1" s="10" t="s">
        <v>73</v>
      </c>
      <c r="B1" s="10"/>
      <c r="C1" s="10"/>
      <c r="D1" s="10"/>
      <c r="E1" s="10"/>
      <c r="F1" s="10"/>
    </row>
    <row r="2" customFormat="false" ht="19.5" hidden="false" customHeight="true" outlineLevel="0" collapsed="false">
      <c r="A2" s="2" t="s">
        <v>74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4" hidden="false" customHeight="true" outlineLevel="0" collapsed="false">
      <c r="A4" s="11" t="s">
        <v>7</v>
      </c>
      <c r="B4" s="11" t="s">
        <v>75</v>
      </c>
      <c r="C4" s="11" t="s">
        <v>76</v>
      </c>
    </row>
    <row r="5" customFormat="false" ht="21.75" hidden="false" customHeight="true" outlineLevel="0" collapsed="false">
      <c r="A5" s="5" t="s">
        <v>27</v>
      </c>
      <c r="B5" s="12" t="n">
        <f aca="false">COUNTIF('Feature Backlog'!F:F,"Offen")</f>
        <v>13</v>
      </c>
      <c r="C5" s="13" t="n">
        <f aca="false">IF(B10&gt;0,B5/B10,0)</f>
        <v>0</v>
      </c>
    </row>
    <row r="6" customFormat="false" ht="21.75" hidden="false" customHeight="true" outlineLevel="0" collapsed="false">
      <c r="A6" s="8" t="s">
        <v>77</v>
      </c>
      <c r="B6" s="14" t="n">
        <f aca="false">COUNTIF('Feature Backlog'!F:F,"In Arbeit")</f>
        <v>0</v>
      </c>
      <c r="C6" s="15" t="n">
        <f aca="false">IF(B10&gt;0,B6/B10,0)</f>
        <v>0</v>
      </c>
    </row>
    <row r="7" customFormat="false" ht="21.75" hidden="false" customHeight="true" outlineLevel="0" collapsed="false">
      <c r="A7" s="5" t="s">
        <v>18</v>
      </c>
      <c r="B7" s="12" t="n">
        <f aca="false">COUNTIF('Feature Backlog'!F:F,"Erledigt")</f>
        <v>1</v>
      </c>
      <c r="C7" s="13" t="n">
        <f aca="false">IF(B10&gt;0,B7/B10,0)</f>
        <v>0</v>
      </c>
    </row>
    <row r="8" customFormat="false" ht="21.75" hidden="false" customHeight="true" outlineLevel="0" collapsed="false">
      <c r="A8" s="8" t="s">
        <v>78</v>
      </c>
      <c r="B8" s="14" t="n">
        <f aca="false">COUNTIF('Feature Backlog'!F:F,"Abgelehnt")</f>
        <v>0</v>
      </c>
      <c r="C8" s="15" t="n">
        <f aca="false">IF(B10&gt;0,B8/B10,0)</f>
        <v>0</v>
      </c>
    </row>
    <row r="9" customFormat="false" ht="21.75" hidden="false" customHeight="true" outlineLevel="0" collapsed="false">
      <c r="A9" s="5" t="s">
        <v>79</v>
      </c>
      <c r="B9" s="12" t="n">
        <f aca="false">COUNTIF('Feature Backlog'!F:F,"Pausiert")</f>
        <v>0</v>
      </c>
      <c r="C9" s="13" t="n">
        <f aca="false">IF(B10&gt;0,B9/B10,0)</f>
        <v>0</v>
      </c>
    </row>
    <row r="10" customFormat="false" ht="24" hidden="false" customHeight="true" outlineLevel="0" collapsed="false">
      <c r="A10" s="16" t="s">
        <v>80</v>
      </c>
      <c r="B10" s="16" t="n">
        <f aca="false">COUNTA('Feature Backlog'!A5:A500)-COUNTIF('Feature Backlog'!A5:A500,"")</f>
        <v>-466</v>
      </c>
      <c r="C10" s="16" t="s">
        <v>81</v>
      </c>
    </row>
    <row r="11" customFormat="false" ht="9.75" hidden="false" customHeight="true" outlineLevel="0" collapsed="false"/>
    <row r="12" customFormat="false" ht="24" hidden="false" customHeight="true" outlineLevel="0" collapsed="false">
      <c r="A12" s="17" t="s">
        <v>6</v>
      </c>
      <c r="B12" s="17" t="s">
        <v>75</v>
      </c>
      <c r="C12" s="17" t="s">
        <v>76</v>
      </c>
    </row>
    <row r="13" customFormat="false" ht="21.75" hidden="false" customHeight="true" outlineLevel="0" collapsed="false">
      <c r="A13" s="5" t="s">
        <v>17</v>
      </c>
      <c r="B13" s="12" t="n">
        <f aca="false">COUNTIF('Feature Backlog'!E:E,"Hoch")</f>
        <v>3</v>
      </c>
      <c r="C13" s="13" t="n">
        <f aca="false">IF(B10&gt;0,B13/B10,0)</f>
        <v>0</v>
      </c>
    </row>
    <row r="14" customFormat="false" ht="21.75" hidden="false" customHeight="true" outlineLevel="0" collapsed="false">
      <c r="A14" s="8" t="s">
        <v>33</v>
      </c>
      <c r="B14" s="14" t="n">
        <f aca="false">COUNTIF('Feature Backlog'!E:E,"Mittel")</f>
        <v>7</v>
      </c>
      <c r="C14" s="15" t="n">
        <f aca="false">IF(B10&gt;0,B14/B10,0)</f>
        <v>0</v>
      </c>
    </row>
    <row r="15" customFormat="false" ht="21.75" hidden="false" customHeight="true" outlineLevel="0" collapsed="false">
      <c r="A15" s="5" t="s">
        <v>46</v>
      </c>
      <c r="B15" s="12" t="n">
        <f aca="false">COUNTIF('Feature Backlog'!E:E,"Niedrig")</f>
        <v>4</v>
      </c>
      <c r="C15" s="13" t="n">
        <f aca="false">IF(B10&gt;0,B15/B10,0)</f>
        <v>0</v>
      </c>
    </row>
    <row r="17" customFormat="false" ht="30" hidden="false" customHeight="true" outlineLevel="0" collapsed="false">
      <c r="A17" s="18" t="s">
        <v>82</v>
      </c>
      <c r="B17" s="18"/>
      <c r="C17" s="18"/>
      <c r="D17" s="18"/>
      <c r="E17" s="18"/>
      <c r="F17" s="18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4" min="3" style="0" width="32"/>
  </cols>
  <sheetData>
    <row r="1" customFormat="false" ht="36" hidden="false" customHeight="true" outlineLevel="0" collapsed="false">
      <c r="A1" s="10" t="s">
        <v>83</v>
      </c>
      <c r="B1" s="10"/>
      <c r="C1" s="10"/>
      <c r="D1" s="10"/>
    </row>
    <row r="2" customFormat="false" ht="25.5" hidden="false" customHeight="true" outlineLevel="0" collapsed="false">
      <c r="A2" s="3" t="s">
        <v>84</v>
      </c>
      <c r="B2" s="3" t="s">
        <v>85</v>
      </c>
      <c r="C2" s="3" t="s">
        <v>86</v>
      </c>
      <c r="D2" s="3" t="s">
        <v>87</v>
      </c>
    </row>
    <row r="3" customFormat="false" ht="25.5" hidden="false" customHeight="true" outlineLevel="0" collapsed="false">
      <c r="A3" s="5" t="s">
        <v>88</v>
      </c>
      <c r="B3" s="5" t="s">
        <v>89</v>
      </c>
      <c r="C3" s="5" t="s">
        <v>90</v>
      </c>
      <c r="D3" s="5" t="s">
        <v>91</v>
      </c>
    </row>
    <row r="4" customFormat="false" ht="25.5" hidden="false" customHeight="true" outlineLevel="0" collapsed="false">
      <c r="A4" s="8" t="s">
        <v>92</v>
      </c>
      <c r="B4" s="8" t="s">
        <v>93</v>
      </c>
      <c r="C4" s="8" t="s">
        <v>94</v>
      </c>
      <c r="D4" s="8" t="s">
        <v>95</v>
      </c>
    </row>
    <row r="5" customFormat="false" ht="25.5" hidden="false" customHeight="true" outlineLevel="0" collapsed="false">
      <c r="A5" s="5" t="s">
        <v>96</v>
      </c>
      <c r="B5" s="5" t="s">
        <v>97</v>
      </c>
      <c r="C5" s="5" t="s">
        <v>98</v>
      </c>
      <c r="D5" s="5"/>
    </row>
    <row r="6" customFormat="false" ht="25.5" hidden="false" customHeight="true" outlineLevel="0" collapsed="false">
      <c r="A6" s="8" t="s">
        <v>99</v>
      </c>
      <c r="B6" s="8" t="s">
        <v>100</v>
      </c>
      <c r="C6" s="8" t="s">
        <v>101</v>
      </c>
      <c r="D6" s="8"/>
    </row>
    <row r="7" customFormat="false" ht="25.5" hidden="false" customHeight="true" outlineLevel="0" collapsed="false">
      <c r="A7" s="5" t="s">
        <v>102</v>
      </c>
      <c r="B7" s="5" t="s">
        <v>103</v>
      </c>
      <c r="C7" s="5" t="s">
        <v>90</v>
      </c>
      <c r="D7" s="5" t="s">
        <v>104</v>
      </c>
    </row>
    <row r="8" customFormat="false" ht="25.5" hidden="false" customHeight="true" outlineLevel="0" collapsed="false">
      <c r="A8" s="8" t="s">
        <v>105</v>
      </c>
      <c r="B8" s="8" t="s">
        <v>106</v>
      </c>
      <c r="C8" s="8" t="s">
        <v>90</v>
      </c>
      <c r="D8" s="8"/>
    </row>
    <row r="9" customFormat="false" ht="25.5" hidden="false" customHeight="true" outlineLevel="0" collapsed="false">
      <c r="A9" s="11"/>
      <c r="B9" s="11"/>
      <c r="C9" s="11"/>
      <c r="D9" s="11"/>
    </row>
    <row r="10" customFormat="false" ht="25.5" hidden="false" customHeight="true" outlineLevel="0" collapsed="false">
      <c r="A10" s="8" t="s">
        <v>3</v>
      </c>
      <c r="B10" s="8" t="s">
        <v>107</v>
      </c>
      <c r="C10" s="8"/>
      <c r="D10" s="8"/>
    </row>
    <row r="11" customFormat="false" ht="25.5" hidden="false" customHeight="true" outlineLevel="0" collapsed="false">
      <c r="A11" s="5" t="s">
        <v>24</v>
      </c>
      <c r="B11" s="5" t="s">
        <v>108</v>
      </c>
      <c r="C11" s="5"/>
      <c r="D11" s="5"/>
    </row>
    <row r="12" customFormat="false" ht="25.5" hidden="false" customHeight="true" outlineLevel="0" collapsed="false">
      <c r="A12" s="8" t="s">
        <v>30</v>
      </c>
      <c r="B12" s="8" t="s">
        <v>109</v>
      </c>
      <c r="C12" s="8"/>
      <c r="D12" s="8"/>
    </row>
    <row r="13" customFormat="false" ht="25.5" hidden="false" customHeight="true" outlineLevel="0" collapsed="false">
      <c r="A13" s="5" t="s">
        <v>38</v>
      </c>
      <c r="B13" s="5" t="s">
        <v>110</v>
      </c>
      <c r="C13" s="5"/>
      <c r="D13" s="5"/>
    </row>
    <row r="14" customFormat="false" ht="25.5" hidden="false" customHeight="true" outlineLevel="0" collapsed="false">
      <c r="A14" s="8" t="s">
        <v>43</v>
      </c>
      <c r="B14" s="8" t="s">
        <v>111</v>
      </c>
      <c r="C14" s="8"/>
      <c r="D14" s="8"/>
    </row>
    <row r="15" customFormat="false" ht="25.5" hidden="false" customHeight="true" outlineLevel="0" collapsed="false">
      <c r="A15" s="5" t="s">
        <v>14</v>
      </c>
      <c r="B15" s="5" t="s">
        <v>112</v>
      </c>
      <c r="C15" s="5"/>
      <c r="D15" s="5"/>
    </row>
    <row r="16" customFormat="false" ht="25.5" hidden="false" customHeight="true" outlineLevel="0" collapsed="false">
      <c r="A16" s="8" t="s">
        <v>52</v>
      </c>
      <c r="B16" s="8" t="s">
        <v>113</v>
      </c>
      <c r="C16" s="8"/>
      <c r="D16" s="8"/>
    </row>
    <row r="17" customFormat="false" ht="25.5" hidden="false" customHeight="true" outlineLevel="0" collapsed="false">
      <c r="A17" s="5" t="s">
        <v>114</v>
      </c>
      <c r="B17" s="5" t="s">
        <v>115</v>
      </c>
      <c r="C17" s="5"/>
      <c r="D17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9D6E0A7A118946AD9B848A570FFE1F" ma:contentTypeVersion="15" ma:contentTypeDescription="Ein neues Dokument erstellen." ma:contentTypeScope="" ma:versionID="20af03f8e2718f3cc9c7b1077d186036">
  <xsd:schema xmlns:xsd="http://www.w3.org/2001/XMLSchema" xmlns:xs="http://www.w3.org/2001/XMLSchema" xmlns:p="http://schemas.microsoft.com/office/2006/metadata/properties" xmlns:ns2="5535ad81-6440-4f71-8f36-c1ca10462588" xmlns:ns3="faa60347-2171-48b8-bd9e-c5505de47841" targetNamespace="http://schemas.microsoft.com/office/2006/metadata/properties" ma:root="true" ma:fieldsID="7aa3c08d413bbe231fe3144b3a5f5c66" ns2:_="" ns3:_="">
    <xsd:import namespace="5535ad81-6440-4f71-8f36-c1ca10462588"/>
    <xsd:import namespace="faa60347-2171-48b8-bd9e-c5505de47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5ad81-6440-4f71-8f36-c1ca10462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4862026c-5e36-4531-a148-058f528a7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347-2171-48b8-bd9e-c5505de4784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2f5942b-0c89-4216-aebf-23012597fbc7}" ma:internalName="TaxCatchAll" ma:showField="CatchAllData" ma:web="faa60347-2171-48b8-bd9e-c5505de47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35ad81-6440-4f71-8f36-c1ca10462588">
      <Terms xmlns="http://schemas.microsoft.com/office/infopath/2007/PartnerControls"/>
    </lcf76f155ced4ddcb4097134ff3c332f>
    <TaxCatchAll xmlns="faa60347-2171-48b8-bd9e-c5505de47841" xsi:nil="true"/>
  </documentManagement>
</p:properties>
</file>

<file path=customXml/itemProps1.xml><?xml version="1.0" encoding="utf-8"?>
<ds:datastoreItem xmlns:ds="http://schemas.openxmlformats.org/officeDocument/2006/customXml" ds:itemID="{4CA1F473-B5AE-4708-874D-3AA0B4ACD528}"/>
</file>

<file path=customXml/itemProps2.xml><?xml version="1.0" encoding="utf-8"?>
<ds:datastoreItem xmlns:ds="http://schemas.openxmlformats.org/officeDocument/2006/customXml" ds:itemID="{AA78C5CB-F319-4DE6-9FD9-6772EAC35FA8}"/>
</file>

<file path=customXml/itemProps3.xml><?xml version="1.0" encoding="utf-8"?>
<ds:datastoreItem xmlns:ds="http://schemas.openxmlformats.org/officeDocument/2006/customXml" ds:itemID="{E591ECA0-B5A8-426F-A7FA-D88AF732995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2026-03-04T14:20:51Z</dcterms:created>
  <dc:creator>openpyxl</dc:creator>
  <dc:description/>
  <dc:language>en-US</dc:language>
  <cp:lastModifiedBy/>
  <dcterms:modified xsi:type="dcterms:W3CDTF">2026-03-04T14:20:51Z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0x010100049D6E0A7A118946AD9B848A570FFE1F</vt:lpwstr>
  </property>
</Properties>
</file>